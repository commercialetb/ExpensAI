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Antonio Affusto\OneDrive\Documenti\Note Spese\"/>
    </mc:Choice>
  </mc:AlternateContent>
  <bookViews>
    <workbookView xWindow="0" yWindow="0" windowWidth="7470" windowHeight="5880"/>
  </bookViews>
  <sheets>
    <sheet name="Details" sheetId="9" r:id="rId1"/>
    <sheet name="Übersicht" sheetId="2" r:id="rId2"/>
  </sheets>
  <definedNames>
    <definedName name="_xlnm.Print_Area" localSheetId="1">Übersicht!$A$1:$C$26</definedName>
    <definedName name="_xlnm.Print_Titles" localSheetId="0">Details!$1:$4</definedName>
  </definedNames>
  <calcPr calcId="152511"/>
</workbook>
</file>

<file path=xl/calcChain.xml><?xml version="1.0" encoding="utf-8"?>
<calcChain xmlns="http://schemas.openxmlformats.org/spreadsheetml/2006/main">
  <c r="A10" i="2" l="1"/>
  <c r="A12" i="2"/>
  <c r="G23" i="9" l="1"/>
  <c r="G17" i="9"/>
  <c r="G10" i="9"/>
  <c r="G7" i="9"/>
  <c r="G5" i="9"/>
  <c r="F39" i="9"/>
  <c r="C17" i="2" l="1"/>
  <c r="G31" i="9"/>
  <c r="G29" i="9"/>
  <c r="G33" i="9"/>
  <c r="G36" i="9"/>
  <c r="G39" i="9" l="1"/>
  <c r="C22" i="2"/>
  <c r="C24" i="2" l="1"/>
  <c r="C18" i="2"/>
  <c r="C25" i="2" l="1"/>
  <c r="C23" i="2"/>
  <c r="C20" i="2"/>
  <c r="C21" i="2" l="1"/>
  <c r="C26" i="2"/>
  <c r="C19" i="2" l="1"/>
</calcChain>
</file>

<file path=xl/comments1.xml><?xml version="1.0" encoding="utf-8"?>
<comments xmlns="http://schemas.openxmlformats.org/spreadsheetml/2006/main">
  <authors>
    <author>buch</author>
    <author>Jennifer Herrmann</author>
  </authors>
  <commentList>
    <comment ref="A10" authorId="0" shapeId="0">
      <text>
        <r>
          <rPr>
            <b/>
            <sz val="9"/>
            <color indexed="81"/>
            <rFont val="Segoe UI"/>
            <family val="2"/>
          </rPr>
          <t>z.B. benzina, costi parcheggio,manutenzione ecc.</t>
        </r>
      </text>
    </comment>
    <comment ref="A17" authorId="1" shapeId="0">
      <text>
        <r>
          <rPr>
            <b/>
            <sz val="9"/>
            <color indexed="81"/>
            <rFont val="Segoe UI"/>
            <family val="2"/>
          </rPr>
          <t>z.B. taxi, biglietti aerei, biglietti treno ecc.</t>
        </r>
      </text>
    </comment>
    <comment ref="A23" authorId="1" shapeId="0">
      <text>
        <r>
          <rPr>
            <b/>
            <sz val="9"/>
            <color indexed="81"/>
            <rFont val="Segoe UI"/>
            <family val="2"/>
          </rPr>
          <t>vitto per clienti ecc.</t>
        </r>
      </text>
    </comment>
    <comment ref="E23" authorId="1" shapeId="0">
      <text>
        <r>
          <rPr>
            <b/>
            <sz val="9"/>
            <color indexed="81"/>
            <rFont val="Segoe UI"/>
            <family val="2"/>
          </rPr>
          <t>Per favore indicare cliente/visitatore!</t>
        </r>
      </text>
    </comment>
  </commentList>
</comments>
</file>

<file path=xl/sharedStrings.xml><?xml version="1.0" encoding="utf-8"?>
<sst xmlns="http://schemas.openxmlformats.org/spreadsheetml/2006/main" count="62" uniqueCount="43">
  <si>
    <t>BEGA Illuminazione s.r.l</t>
  </si>
  <si>
    <t>importo</t>
  </si>
  <si>
    <t>n°</t>
  </si>
  <si>
    <t>BEGA Illuminazione s.r.l.</t>
  </si>
  <si>
    <t>Corso Buenos Aires 64/a, Milano</t>
  </si>
  <si>
    <t>costi di viaggio / Reisekosten</t>
  </si>
  <si>
    <t>data / Datum</t>
  </si>
  <si>
    <t>cliente/visitatore / Kunde/Besucher</t>
  </si>
  <si>
    <t>importo / Betrag</t>
  </si>
  <si>
    <t>totale / Summe</t>
  </si>
  <si>
    <t xml:space="preserve">   importo forfait trasferta / Diäten</t>
  </si>
  <si>
    <t xml:space="preserve">   costi pernottamento / Übernachtungskosten</t>
  </si>
  <si>
    <t xml:space="preserve">   costi altri mezzi di trasporto / Kosten anderer Verkehrsmittel</t>
  </si>
  <si>
    <t xml:space="preserve">   vitto per affari / Geschäftsbewirtungen</t>
  </si>
  <si>
    <t xml:space="preserve">   vitto proprio / Eigenbewirtungen</t>
  </si>
  <si>
    <t xml:space="preserve">   costi per telefono/internet / Telefon-/Internetkosten</t>
  </si>
  <si>
    <t xml:space="preserve">   materiale per ufficio / Büromaterial</t>
  </si>
  <si>
    <t xml:space="preserve">   altro / Sonstiges</t>
  </si>
  <si>
    <t xml:space="preserve">   costi autoveicoli / KFZ-Kosten</t>
  </si>
  <si>
    <t>descrizione / Beschreibung</t>
  </si>
  <si>
    <t>lista di costi di viaggio / Übersicht Reisekosten</t>
  </si>
  <si>
    <t>Antonio Affusto</t>
  </si>
  <si>
    <t>Lavaggio Auto</t>
  </si>
  <si>
    <t>02</t>
  </si>
  <si>
    <t xml:space="preserve">bar </t>
  </si>
  <si>
    <t>03</t>
  </si>
  <si>
    <t>city tax</t>
  </si>
  <si>
    <t>Trasferta Innsbruck</t>
  </si>
  <si>
    <t>04</t>
  </si>
  <si>
    <t>hotel</t>
  </si>
  <si>
    <t>05</t>
  </si>
  <si>
    <t>autostrada</t>
  </si>
  <si>
    <t>06</t>
  </si>
  <si>
    <t>07</t>
  </si>
  <si>
    <t>parcheggio</t>
  </si>
  <si>
    <t>Next Studio</t>
  </si>
  <si>
    <t>08</t>
  </si>
  <si>
    <t>palmieri</t>
  </si>
  <si>
    <t>09</t>
  </si>
  <si>
    <t>Sanzone/Palmieri</t>
  </si>
  <si>
    <t>10</t>
  </si>
  <si>
    <t>30/01/20260</t>
  </si>
  <si>
    <t>Sanzone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</si>
</sst>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€&quot;;[Red]\-#,##0.00\ &quot;€&quot;"/>
    <numFmt numFmtId="164" formatCode="#,##0.00\ &quot;€&quot;"/>
    <numFmt numFmtId="165" formatCode="#,##0.00\ [$AED]"/>
    <numFmt numFmtId="166" formatCode="#,##0.00000\ &quot;€&quot;"/>
    <numFmt numFmtId="167" formatCode="[$-407]mmmm\ yyyy;@"/>
  </numFmts>
  <fonts count="29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Arial"/>
      <family val="2"/>
    </font>
    <font>
      <b/>
      <sz val="11"/>
      <name val="Arial"/>
      <family val="2"/>
    </font>
    <font>
      <sz val="16"/>
      <color indexed="20"/>
      <name val="Planet Benson 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6"/>
      <name val="Helvetica 65"/>
      <family val="2"/>
    </font>
    <font>
      <b/>
      <sz val="18"/>
      <name val="Helvetica 65"/>
      <family val="2"/>
    </font>
    <font>
      <b/>
      <sz val="9"/>
      <color indexed="81"/>
      <name val="Segoe UI"/>
      <family val="2"/>
    </font>
    <font>
      <sz val="9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Protection="1"/>
    <xf numFmtId="0" fontId="19" fillId="25" borderId="17" xfId="0" applyFont="1" applyFill="1" applyBorder="1" applyAlignment="1" applyProtection="1">
      <alignment horizontal="center" vertical="center"/>
    </xf>
    <xf numFmtId="0" fontId="19" fillId="25" borderId="17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vertical="center"/>
    </xf>
    <xf numFmtId="49" fontId="23" fillId="26" borderId="16" xfId="0" applyNumberFormat="1" applyFont="1" applyFill="1" applyBorder="1" applyAlignment="1" applyProtection="1">
      <alignment horizontal="center" vertical="center"/>
      <protection locked="0"/>
    </xf>
    <xf numFmtId="14" fontId="23" fillId="26" borderId="16" xfId="0" applyNumberFormat="1" applyFont="1" applyFill="1" applyBorder="1" applyAlignment="1" applyProtection="1">
      <alignment horizontal="center" vertical="center"/>
      <protection locked="0"/>
    </xf>
    <xf numFmtId="0" fontId="23" fillId="26" borderId="16" xfId="0" applyFont="1" applyFill="1" applyBorder="1" applyAlignment="1" applyProtection="1">
      <alignment vertical="center"/>
      <protection locked="0"/>
    </xf>
    <xf numFmtId="0" fontId="23" fillId="26" borderId="16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22" fillId="0" borderId="0" xfId="0" applyFont="1" applyAlignment="1" applyProtection="1">
      <alignment vertical="center"/>
    </xf>
    <xf numFmtId="0" fontId="22" fillId="0" borderId="0" xfId="0" applyFont="1" applyAlignment="1" applyProtection="1">
      <alignment horizontal="center" vertical="center"/>
    </xf>
    <xf numFmtId="0" fontId="23" fillId="24" borderId="16" xfId="0" applyFont="1" applyFill="1" applyBorder="1" applyAlignment="1" applyProtection="1">
      <alignment vertical="center"/>
    </xf>
    <xf numFmtId="0" fontId="20" fillId="0" borderId="0" xfId="0" applyFont="1" applyProtection="1"/>
    <xf numFmtId="14" fontId="20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22" fillId="0" borderId="15" xfId="0" applyFont="1" applyBorder="1" applyAlignment="1" applyProtection="1">
      <alignment vertical="center"/>
    </xf>
    <xf numFmtId="0" fontId="0" fillId="0" borderId="15" xfId="0" applyBorder="1" applyAlignment="1" applyProtection="1">
      <alignment vertical="center"/>
    </xf>
    <xf numFmtId="164" fontId="14" fillId="0" borderId="11" xfId="0" applyNumberFormat="1" applyFont="1" applyFill="1" applyBorder="1" applyAlignment="1" applyProtection="1">
      <alignment horizontal="right" vertical="center"/>
    </xf>
    <xf numFmtId="0" fontId="22" fillId="0" borderId="13" xfId="0" applyFont="1" applyBorder="1" applyAlignment="1" applyProtection="1">
      <alignment vertical="center"/>
    </xf>
    <xf numFmtId="0" fontId="19" fillId="0" borderId="10" xfId="0" applyFont="1" applyFill="1" applyBorder="1" applyAlignment="1" applyProtection="1">
      <alignment horizontal="left" vertical="center"/>
      <protection locked="0"/>
    </xf>
    <xf numFmtId="0" fontId="19" fillId="24" borderId="16" xfId="0" applyFont="1" applyFill="1" applyBorder="1" applyAlignment="1" applyProtection="1">
      <alignment vertical="center"/>
    </xf>
    <xf numFmtId="0" fontId="23" fillId="0" borderId="16" xfId="0" applyFont="1" applyFill="1" applyBorder="1" applyAlignment="1" applyProtection="1">
      <alignment horizontal="center" vertical="center"/>
    </xf>
    <xf numFmtId="14" fontId="23" fillId="0" borderId="16" xfId="0" applyNumberFormat="1" applyFont="1" applyFill="1" applyBorder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/>
    </xf>
    <xf numFmtId="0" fontId="0" fillId="25" borderId="13" xfId="0" applyFill="1" applyBorder="1" applyAlignment="1" applyProtection="1">
      <alignment vertical="center"/>
    </xf>
    <xf numFmtId="0" fontId="0" fillId="0" borderId="10" xfId="0" applyFill="1" applyBorder="1" applyAlignment="1" applyProtection="1">
      <alignment vertical="center"/>
      <protection locked="0"/>
    </xf>
    <xf numFmtId="0" fontId="0" fillId="24" borderId="16" xfId="0" applyFill="1" applyBorder="1" applyAlignment="1" applyProtection="1">
      <alignment vertical="center"/>
    </xf>
    <xf numFmtId="0" fontId="0" fillId="0" borderId="10" xfId="0" applyFill="1" applyBorder="1" applyAlignment="1" applyProtection="1">
      <alignment vertical="center"/>
    </xf>
    <xf numFmtId="0" fontId="19" fillId="24" borderId="12" xfId="0" applyFont="1" applyFill="1" applyBorder="1" applyAlignment="1" applyProtection="1">
      <alignment vertical="center"/>
    </xf>
    <xf numFmtId="0" fontId="0" fillId="24" borderId="18" xfId="0" applyFill="1" applyBorder="1" applyAlignment="1" applyProtection="1">
      <alignment horizontal="center" vertical="center"/>
    </xf>
    <xf numFmtId="0" fontId="19" fillId="24" borderId="18" xfId="0" applyFont="1" applyFill="1" applyBorder="1" applyAlignment="1" applyProtection="1">
      <alignment vertical="center"/>
    </xf>
    <xf numFmtId="0" fontId="0" fillId="0" borderId="0" xfId="0" applyAlignment="1" applyProtection="1">
      <alignment horizontal="center" vertical="center"/>
      <protection locked="0"/>
    </xf>
    <xf numFmtId="4" fontId="0" fillId="0" borderId="0" xfId="0" applyNumberForma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23" fillId="0" borderId="0" xfId="0" applyNumberFormat="1" applyFont="1" applyAlignment="1" applyProtection="1">
      <alignment vertical="center"/>
    </xf>
    <xf numFmtId="165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quotePrefix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9" fillId="24" borderId="10" xfId="0" applyFont="1" applyFill="1" applyBorder="1" applyAlignment="1" applyProtection="1">
      <alignment vertical="center"/>
    </xf>
    <xf numFmtId="164" fontId="23" fillId="26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</xf>
    <xf numFmtId="164" fontId="19" fillId="24" borderId="16" xfId="0" applyNumberFormat="1" applyFont="1" applyFill="1" applyBorder="1" applyAlignment="1" applyProtection="1">
      <alignment vertical="center"/>
    </xf>
    <xf numFmtId="164" fontId="0" fillId="24" borderId="16" xfId="0" applyNumberFormat="1" applyFill="1" applyBorder="1" applyAlignment="1" applyProtection="1">
      <alignment vertical="center"/>
    </xf>
    <xf numFmtId="164" fontId="23" fillId="0" borderId="16" xfId="0" applyNumberFormat="1" applyFont="1" applyFill="1" applyBorder="1" applyAlignment="1" applyProtection="1">
      <alignment vertical="center"/>
    </xf>
    <xf numFmtId="164" fontId="19" fillId="24" borderId="18" xfId="0" applyNumberFormat="1" applyFont="1" applyFill="1" applyBorder="1" applyAlignment="1" applyProtection="1">
      <alignment vertical="center"/>
    </xf>
    <xf numFmtId="0" fontId="22" fillId="24" borderId="13" xfId="0" applyFont="1" applyFill="1" applyBorder="1" applyAlignment="1" applyProtection="1">
      <alignment vertical="center"/>
    </xf>
    <xf numFmtId="0" fontId="22" fillId="24" borderId="14" xfId="0" applyFont="1" applyFill="1" applyBorder="1" applyAlignment="1" applyProtection="1">
      <alignment horizontal="center" vertical="center" wrapText="1"/>
    </xf>
    <xf numFmtId="164" fontId="14" fillId="0" borderId="20" xfId="0" applyNumberFormat="1" applyFont="1" applyFill="1" applyBorder="1" applyAlignment="1" applyProtection="1">
      <alignment horizontal="right" vertical="center"/>
    </xf>
    <xf numFmtId="164" fontId="22" fillId="0" borderId="14" xfId="0" applyNumberFormat="1" applyFont="1" applyFill="1" applyBorder="1" applyAlignment="1" applyProtection="1">
      <alignment horizontal="right" vertical="center"/>
    </xf>
    <xf numFmtId="0" fontId="24" fillId="26" borderId="0" xfId="0" applyFont="1" applyFill="1" applyAlignment="1" applyProtection="1">
      <alignment horizontal="left" vertical="center"/>
      <protection locked="0"/>
    </xf>
    <xf numFmtId="49" fontId="24" fillId="26" borderId="0" xfId="0" applyNumberFormat="1" applyFont="1" applyFill="1" applyAlignment="1" applyProtection="1">
      <alignment horizontal="right" vertical="center"/>
      <protection locked="0"/>
    </xf>
    <xf numFmtId="0" fontId="23" fillId="0" borderId="10" xfId="0" applyFont="1" applyFill="1" applyBorder="1" applyAlignment="1" applyProtection="1">
      <alignment vertical="center"/>
    </xf>
    <xf numFmtId="0" fontId="23" fillId="0" borderId="19" xfId="0" applyFont="1" applyFill="1" applyBorder="1" applyAlignment="1" applyProtection="1">
      <alignment vertical="center"/>
    </xf>
    <xf numFmtId="49" fontId="23" fillId="26" borderId="16" xfId="0" applyNumberFormat="1" applyFont="1" applyFill="1" applyBorder="1" applyAlignment="1" applyProtection="1">
      <alignment horizontal="center" vertical="center"/>
      <protection locked="0"/>
    </xf>
    <xf numFmtId="14" fontId="23" fillId="26" borderId="16" xfId="0" applyNumberFormat="1" applyFont="1" applyFill="1" applyBorder="1" applyAlignment="1" applyProtection="1">
      <alignment horizontal="center" vertical="center"/>
      <protection locked="0"/>
    </xf>
    <xf numFmtId="0" fontId="23" fillId="26" borderId="16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0" xfId="0" applyFill="1" applyBorder="1" applyAlignment="1" applyProtection="1">
      <alignment vertical="center"/>
      <protection locked="0"/>
    </xf>
    <xf numFmtId="164" fontId="23" fillId="26" borderId="16" xfId="0" applyNumberFormat="1" applyFont="1" applyFill="1" applyBorder="1" applyAlignment="1" applyProtection="1">
      <alignment vertical="center"/>
      <protection locked="0"/>
    </xf>
    <xf numFmtId="164" fontId="23" fillId="24" borderId="16" xfId="0" applyNumberFormat="1" applyFont="1" applyFill="1" applyBorder="1" applyAlignment="1" applyProtection="1">
      <alignment vertical="center"/>
      <protection locked="0"/>
    </xf>
    <xf numFmtId="49" fontId="28" fillId="26" borderId="16" xfId="0" applyNumberFormat="1" applyFont="1" applyFill="1" applyBorder="1" applyAlignment="1" applyProtection="1">
      <alignment horizontal="center" vertical="center"/>
      <protection locked="0"/>
    </xf>
    <xf numFmtId="14" fontId="28" fillId="26" borderId="16" xfId="0" applyNumberFormat="1" applyFont="1" applyFill="1" applyBorder="1" applyAlignment="1" applyProtection="1">
      <alignment horizontal="center" vertical="center"/>
      <protection locked="0"/>
    </xf>
    <xf numFmtId="8" fontId="28" fillId="26" borderId="16" xfId="0" applyNumberFormat="1" applyFont="1" applyFill="1" applyBorder="1" applyAlignment="1" applyProtection="1">
      <alignment vertical="center"/>
      <protection locked="0"/>
    </xf>
    <xf numFmtId="164" fontId="28" fillId="26" borderId="16" xfId="0" applyNumberFormat="1" applyFont="1" applyFill="1" applyBorder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/>
    </xf>
    <xf numFmtId="167" fontId="20" fillId="0" borderId="0" xfId="0" applyNumberFormat="1" applyFont="1" applyFill="1" applyBorder="1" applyAlignment="1" applyProtection="1">
      <alignment horizontal="center" vertical="center"/>
    </xf>
    <xf numFmtId="0" fontId="26" fillId="0" borderId="0" xfId="0" applyFont="1" applyAlignment="1" applyProtection="1">
      <alignment horizontal="center"/>
    </xf>
    <xf numFmtId="0" fontId="19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e" xfId="36" builtinId="28" customBuiltin="1"/>
    <cellStyle name="Normale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4"/>
  <sheetViews>
    <sheetView tabSelected="1" view="pageBreakPreview" topLeftCell="A4" zoomScaleNormal="100" zoomScaleSheetLayoutView="100" workbookViewId="0">
      <selection activeCell="G25" sqref="G25"/>
    </sheetView>
  </sheetViews>
  <sheetFormatPr defaultColWidth="11.42578125" defaultRowHeight="12.75"/>
  <cols>
    <col min="1" max="1" width="4.7109375" style="26" customWidth="1"/>
    <col min="2" max="2" width="4.7109375" style="35" customWidth="1"/>
    <col min="3" max="3" width="12.7109375" style="26" customWidth="1"/>
    <col min="4" max="4" width="30.7109375" style="26" customWidth="1"/>
    <col min="5" max="5" width="35.7109375" style="26" customWidth="1"/>
    <col min="6" max="6" width="14.140625" style="26" customWidth="1"/>
    <col min="7" max="7" width="18" style="26" customWidth="1"/>
    <col min="8" max="16384" width="11.42578125" style="26"/>
  </cols>
  <sheetData>
    <row r="1" spans="1:9" ht="20.25">
      <c r="A1" s="71" t="s">
        <v>0</v>
      </c>
      <c r="B1" s="71"/>
      <c r="C1" s="71"/>
      <c r="D1" s="71"/>
      <c r="E1" s="71"/>
      <c r="F1" s="71"/>
      <c r="G1" s="71"/>
      <c r="H1" s="25"/>
      <c r="I1" s="25"/>
    </row>
    <row r="2" spans="1:9">
      <c r="A2" s="27"/>
      <c r="B2" s="10"/>
      <c r="C2" s="27"/>
      <c r="D2" s="27"/>
      <c r="E2" s="27"/>
      <c r="F2" s="27"/>
      <c r="G2" s="27"/>
    </row>
    <row r="3" spans="1:9" ht="20.25" customHeight="1">
      <c r="A3" s="9" t="s">
        <v>5</v>
      </c>
      <c r="B3" s="10"/>
      <c r="C3" s="11"/>
      <c r="E3" s="56" t="s">
        <v>21</v>
      </c>
      <c r="F3" s="12"/>
      <c r="G3" s="57"/>
    </row>
    <row r="4" spans="1:9" ht="25.5" customHeight="1">
      <c r="A4" s="28"/>
      <c r="B4" s="2" t="s">
        <v>2</v>
      </c>
      <c r="C4" s="2" t="s">
        <v>6</v>
      </c>
      <c r="D4" s="2" t="s">
        <v>19</v>
      </c>
      <c r="E4" s="2" t="s">
        <v>7</v>
      </c>
      <c r="F4" s="3" t="s">
        <v>8</v>
      </c>
      <c r="G4" s="3" t="s">
        <v>9</v>
      </c>
    </row>
    <row r="5" spans="1:9" ht="15.75" customHeight="1">
      <c r="A5" s="44" t="s">
        <v>10</v>
      </c>
      <c r="B5" s="22"/>
      <c r="C5" s="22"/>
      <c r="D5" s="13"/>
      <c r="E5" s="13"/>
      <c r="F5" s="47"/>
      <c r="G5" s="48" t="str">
        <f>IF(SUM(F5:F7)=0,"",SUM(F5:F7))</f>
        <v/>
      </c>
    </row>
    <row r="6" spans="1:9" ht="15.75" customHeight="1">
      <c r="A6" s="29"/>
      <c r="B6" s="5"/>
      <c r="C6" s="6"/>
      <c r="D6" s="7"/>
      <c r="E6" s="7"/>
      <c r="F6" s="45"/>
      <c r="G6" s="46"/>
    </row>
    <row r="7" spans="1:9" ht="15.95" customHeight="1">
      <c r="A7" s="44" t="s">
        <v>11</v>
      </c>
      <c r="B7" s="22"/>
      <c r="C7" s="22"/>
      <c r="D7" s="13"/>
      <c r="E7" s="13"/>
      <c r="F7" s="47"/>
      <c r="G7" s="48">
        <f>IF(SUM(F7:F10)=0,"",SUM(F7:F10))</f>
        <v>53.03</v>
      </c>
    </row>
    <row r="8" spans="1:9" s="63" customFormat="1" ht="15.95" customHeight="1">
      <c r="A8" s="64"/>
      <c r="B8" s="60" t="s">
        <v>25</v>
      </c>
      <c r="C8" s="61">
        <v>46035</v>
      </c>
      <c r="D8" s="62" t="s">
        <v>26</v>
      </c>
      <c r="E8" s="62" t="s">
        <v>27</v>
      </c>
      <c r="F8" s="65">
        <v>1.5</v>
      </c>
      <c r="G8" s="66"/>
    </row>
    <row r="9" spans="1:9" s="63" customFormat="1" ht="15.95" customHeight="1">
      <c r="A9" s="64"/>
      <c r="B9" s="60" t="s">
        <v>28</v>
      </c>
      <c r="C9" s="61">
        <v>46030</v>
      </c>
      <c r="D9" s="62" t="s">
        <v>29</v>
      </c>
      <c r="E9" s="62" t="s">
        <v>27</v>
      </c>
      <c r="F9" s="65">
        <v>51.53</v>
      </c>
      <c r="G9" s="66"/>
    </row>
    <row r="10" spans="1:9" ht="15.95" customHeight="1">
      <c r="A10" s="44" t="s">
        <v>18</v>
      </c>
      <c r="B10" s="22"/>
      <c r="C10" s="22"/>
      <c r="D10" s="13"/>
      <c r="E10" s="13"/>
      <c r="F10" s="47"/>
      <c r="G10" s="48">
        <f>IF(SUM(F10:F17)=0,"",SUM(F10:F17))</f>
        <v>56</v>
      </c>
    </row>
    <row r="11" spans="1:9" ht="15.95" customHeight="1">
      <c r="A11" s="29"/>
      <c r="B11" s="8">
        <v>1</v>
      </c>
      <c r="C11" s="61">
        <v>46034</v>
      </c>
      <c r="D11" s="62" t="s">
        <v>22</v>
      </c>
      <c r="E11" s="62"/>
      <c r="F11" s="65">
        <v>15</v>
      </c>
      <c r="G11" s="46"/>
    </row>
    <row r="12" spans="1:9" s="63" customFormat="1" ht="15.95" customHeight="1">
      <c r="A12" s="64"/>
      <c r="B12" s="60" t="s">
        <v>30</v>
      </c>
      <c r="C12" s="61">
        <v>46036</v>
      </c>
      <c r="D12" s="62" t="s">
        <v>31</v>
      </c>
      <c r="E12" s="62" t="s">
        <v>27</v>
      </c>
      <c r="F12" s="65">
        <v>12.5</v>
      </c>
      <c r="G12" s="66"/>
    </row>
    <row r="13" spans="1:9" s="63" customFormat="1" ht="15.95" customHeight="1">
      <c r="A13" s="64"/>
      <c r="B13" s="60" t="s">
        <v>32</v>
      </c>
      <c r="C13" s="61">
        <v>46037</v>
      </c>
      <c r="D13" s="62" t="s">
        <v>31</v>
      </c>
      <c r="E13" s="62" t="s">
        <v>27</v>
      </c>
      <c r="F13" s="65">
        <v>12.5</v>
      </c>
      <c r="G13" s="66"/>
    </row>
    <row r="14" spans="1:9" s="63" customFormat="1" ht="15.95" customHeight="1">
      <c r="A14" s="64"/>
      <c r="B14" s="60" t="s">
        <v>33</v>
      </c>
      <c r="C14" s="61">
        <v>46049</v>
      </c>
      <c r="D14" s="62" t="s">
        <v>34</v>
      </c>
      <c r="E14" s="62" t="s">
        <v>35</v>
      </c>
      <c r="F14" s="65">
        <v>1</v>
      </c>
      <c r="G14" s="66"/>
    </row>
    <row r="15" spans="1:9" ht="15.95" customHeight="1">
      <c r="A15" s="29"/>
      <c r="B15" s="5" t="s">
        <v>36</v>
      </c>
      <c r="C15" s="61">
        <v>46049</v>
      </c>
      <c r="D15" s="62" t="s">
        <v>34</v>
      </c>
      <c r="E15" s="7" t="s">
        <v>37</v>
      </c>
      <c r="F15" s="45">
        <v>6</v>
      </c>
      <c r="G15" s="46"/>
    </row>
    <row r="16" spans="1:9" ht="15.95" customHeight="1">
      <c r="A16" s="29"/>
      <c r="B16" s="60" t="s">
        <v>38</v>
      </c>
      <c r="C16" s="61">
        <v>46052</v>
      </c>
      <c r="D16" s="62" t="s">
        <v>34</v>
      </c>
      <c r="E16" s="62" t="s">
        <v>39</v>
      </c>
      <c r="F16" s="65">
        <v>9</v>
      </c>
      <c r="G16" s="46"/>
    </row>
    <row r="17" spans="1:7" ht="15.95" customHeight="1">
      <c r="A17" s="44" t="s">
        <v>12</v>
      </c>
      <c r="B17" s="22"/>
      <c r="C17" s="22"/>
      <c r="D17" s="22"/>
      <c r="E17" s="22"/>
      <c r="F17" s="47"/>
      <c r="G17" s="48" t="str">
        <f>IF(SUM(F17:F23)=0,"",SUM(F17:F23))</f>
        <v/>
      </c>
    </row>
    <row r="18" spans="1:7" ht="15.95" customHeight="1">
      <c r="A18" s="64"/>
      <c r="B18" s="8"/>
      <c r="C18" s="61"/>
      <c r="D18" s="62"/>
      <c r="E18" s="62"/>
      <c r="F18" s="65"/>
      <c r="G18" s="46"/>
    </row>
    <row r="19" spans="1:7" s="63" customFormat="1" ht="15.95" customHeight="1">
      <c r="A19" s="64"/>
      <c r="B19" s="8"/>
      <c r="C19" s="61"/>
      <c r="D19" s="62"/>
      <c r="E19" s="62"/>
      <c r="F19" s="65"/>
      <c r="G19" s="66"/>
    </row>
    <row r="20" spans="1:7" s="63" customFormat="1" ht="15.95" customHeight="1">
      <c r="A20" s="64"/>
      <c r="B20" s="8"/>
      <c r="C20" s="61"/>
      <c r="D20" s="62"/>
      <c r="E20" s="62"/>
      <c r="F20" s="65"/>
      <c r="G20" s="66"/>
    </row>
    <row r="21" spans="1:7" s="63" customFormat="1" ht="15.95" customHeight="1">
      <c r="A21" s="64"/>
      <c r="B21" s="8"/>
      <c r="C21" s="61"/>
      <c r="D21" s="62"/>
      <c r="E21" s="62"/>
      <c r="F21" s="65"/>
      <c r="G21" s="66"/>
    </row>
    <row r="22" spans="1:7" s="63" customFormat="1" ht="15.95" customHeight="1">
      <c r="A22" s="64"/>
      <c r="B22" s="8"/>
      <c r="C22" s="61"/>
      <c r="D22" s="62"/>
      <c r="E22" s="62"/>
      <c r="F22" s="65"/>
      <c r="G22" s="66"/>
    </row>
    <row r="23" spans="1:7" ht="15.95" customHeight="1">
      <c r="A23" s="44" t="s">
        <v>13</v>
      </c>
      <c r="B23" s="22"/>
      <c r="C23" s="22"/>
      <c r="D23" s="13"/>
      <c r="E23" s="13"/>
      <c r="F23" s="47"/>
      <c r="G23" s="48">
        <f>IF(SUM(F23:F29)=0,"",SUM(F23:F29))</f>
        <v>8.6999999999999993</v>
      </c>
    </row>
    <row r="24" spans="1:7" s="63" customFormat="1" ht="15.95" customHeight="1">
      <c r="A24" s="64"/>
      <c r="B24" s="60" t="s">
        <v>23</v>
      </c>
      <c r="C24" s="61">
        <v>46035</v>
      </c>
      <c r="D24" s="62" t="s">
        <v>24</v>
      </c>
      <c r="E24" s="62" t="s">
        <v>27</v>
      </c>
      <c r="F24" s="65">
        <v>1.5</v>
      </c>
      <c r="G24" s="66"/>
    </row>
    <row r="25" spans="1:7" s="63" customFormat="1" ht="15.95" customHeight="1">
      <c r="A25" s="64"/>
      <c r="B25" s="60" t="s">
        <v>40</v>
      </c>
      <c r="C25" s="61" t="s">
        <v>41</v>
      </c>
      <c r="D25" s="62" t="s">
        <v>24</v>
      </c>
      <c r="E25" s="62" t="s">
        <v>42</v>
      </c>
      <c r="F25" s="65">
        <v>7.2</v>
      </c>
      <c r="G25" s="66"/>
    </row>
    <row r="26" spans="1:7" s="63" customFormat="1" ht="15.95" customHeight="1">
      <c r="A26" s="64"/>
      <c r="B26" s="60"/>
      <c r="C26" s="61"/>
      <c r="D26" s="62"/>
      <c r="E26" s="62"/>
      <c r="F26" s="65"/>
      <c r="G26" s="66"/>
    </row>
    <row r="27" spans="1:7" s="63" customFormat="1" ht="15.95" customHeight="1">
      <c r="A27" s="64"/>
      <c r="B27" s="60"/>
      <c r="C27" s="61"/>
      <c r="D27" s="62"/>
      <c r="E27" s="62"/>
      <c r="F27" s="65"/>
      <c r="G27" s="66"/>
    </row>
    <row r="28" spans="1:7" ht="15.95" customHeight="1">
      <c r="A28" s="29"/>
      <c r="B28" s="5"/>
      <c r="C28" s="6"/>
      <c r="D28" s="7"/>
      <c r="E28" s="7"/>
      <c r="F28" s="45"/>
      <c r="G28" s="46"/>
    </row>
    <row r="29" spans="1:7" ht="15.95" customHeight="1">
      <c r="A29" s="44" t="s">
        <v>14</v>
      </c>
      <c r="B29" s="22"/>
      <c r="C29" s="22"/>
      <c r="D29" s="13"/>
      <c r="E29" s="13"/>
      <c r="F29" s="47"/>
      <c r="G29" s="48" t="str">
        <f>IF(SUM(F29:F31)=0,"",SUM(F29:F31))</f>
        <v/>
      </c>
    </row>
    <row r="30" spans="1:7" ht="15.95" customHeight="1">
      <c r="A30" s="29"/>
      <c r="B30" s="5"/>
      <c r="C30" s="6"/>
      <c r="D30" s="7"/>
      <c r="E30" s="7"/>
      <c r="F30" s="45"/>
      <c r="G30" s="46"/>
    </row>
    <row r="31" spans="1:7" ht="15.95" customHeight="1">
      <c r="A31" s="44" t="s">
        <v>15</v>
      </c>
      <c r="B31" s="22"/>
      <c r="C31" s="22"/>
      <c r="D31" s="13"/>
      <c r="E31" s="13"/>
      <c r="F31" s="47"/>
      <c r="G31" s="48" t="str">
        <f>IF(SUM(F31:F33)=0,"",SUM(F31:F33))</f>
        <v/>
      </c>
    </row>
    <row r="32" spans="1:7" ht="15.95" customHeight="1">
      <c r="A32" s="29"/>
      <c r="B32" s="5"/>
      <c r="C32" s="6"/>
      <c r="D32" s="7"/>
      <c r="E32" s="7"/>
      <c r="F32" s="45"/>
      <c r="G32" s="46"/>
    </row>
    <row r="33" spans="1:7" ht="15.95" customHeight="1">
      <c r="A33" s="44" t="s">
        <v>16</v>
      </c>
      <c r="B33" s="22"/>
      <c r="C33" s="22"/>
      <c r="D33" s="30"/>
      <c r="E33" s="30"/>
      <c r="F33" s="49"/>
      <c r="G33" s="48" t="str">
        <f>IF(SUM(F33:F36)=0,"",SUM(F33:F36))</f>
        <v/>
      </c>
    </row>
    <row r="34" spans="1:7" ht="15.95" customHeight="1">
      <c r="A34" s="21"/>
      <c r="B34" s="8"/>
      <c r="C34" s="6"/>
      <c r="D34" s="7"/>
      <c r="E34" s="7"/>
      <c r="F34" s="45"/>
      <c r="G34" s="46"/>
    </row>
    <row r="35" spans="1:7" s="63" customFormat="1" ht="15.95" customHeight="1">
      <c r="A35" s="21"/>
      <c r="B35" s="8"/>
      <c r="C35" s="61"/>
      <c r="D35" s="62"/>
      <c r="E35" s="62"/>
      <c r="F35" s="65"/>
      <c r="G35" s="66"/>
    </row>
    <row r="36" spans="1:7" ht="15.95" customHeight="1">
      <c r="A36" s="44" t="s">
        <v>17</v>
      </c>
      <c r="B36" s="22"/>
      <c r="C36" s="22"/>
      <c r="D36" s="13"/>
      <c r="E36" s="13"/>
      <c r="F36" s="47"/>
      <c r="G36" s="48" t="str">
        <f>IF(SUM(F36:F38)=0,"",SUM(F36:F38))</f>
        <v/>
      </c>
    </row>
    <row r="37" spans="1:7" ht="15.95" customHeight="1">
      <c r="A37" s="29"/>
      <c r="B37" s="67"/>
      <c r="C37" s="68"/>
      <c r="D37" s="62"/>
      <c r="E37" s="69"/>
      <c r="F37" s="70"/>
      <c r="G37" s="46"/>
    </row>
    <row r="38" spans="1:7" ht="15.95" customHeight="1">
      <c r="A38" s="31"/>
      <c r="B38" s="23"/>
      <c r="C38" s="24"/>
      <c r="D38" s="4"/>
      <c r="E38" s="4"/>
      <c r="F38" s="50"/>
      <c r="G38" s="47"/>
    </row>
    <row r="39" spans="1:7" ht="15.75" customHeight="1">
      <c r="A39" s="32" t="s">
        <v>9</v>
      </c>
      <c r="B39" s="33"/>
      <c r="C39" s="34"/>
      <c r="D39" s="34"/>
      <c r="E39" s="34"/>
      <c r="F39" s="51">
        <f>SUM(F5:F38)</f>
        <v>117.73</v>
      </c>
      <c r="G39" s="51">
        <f>SUM(G5,G7,G10,G17,G23,G29,G31,G33,G36)</f>
        <v>117.73</v>
      </c>
    </row>
    <row r="40" spans="1:7">
      <c r="F40" s="36"/>
      <c r="G40" s="36"/>
    </row>
    <row r="41" spans="1:7">
      <c r="A41" s="37"/>
      <c r="F41" s="38"/>
      <c r="G41" s="39"/>
    </row>
    <row r="44" spans="1:7">
      <c r="C44" s="40"/>
      <c r="D44" s="41"/>
    </row>
  </sheetData>
  <sheetProtection password="D9E4" sheet="1" objects="1" scenarios="1" formatCells="0" insertRows="0" deleteRows="0"/>
  <mergeCells count="1">
    <mergeCell ref="A1:G1"/>
  </mergeCells>
  <printOptions horizontalCentered="1"/>
  <pageMargins left="0.39370078740157483" right="0.39370078740157483" top="0.59055118110236227" bottom="0.59055118110236227" header="0.51181102362204722" footer="0.31496062992125984"/>
  <pageSetup paperSize="9" orientation="landscape" horizontalDpi="4294967293" r:id="rId1"/>
  <headerFooter alignWithMargins="0">
    <oddFooter>&amp;R&amp;P/&amp;N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26"/>
  <sheetViews>
    <sheetView zoomScaleNormal="100" workbookViewId="0">
      <selection activeCell="E21" sqref="E21"/>
    </sheetView>
  </sheetViews>
  <sheetFormatPr defaultColWidth="11.42578125" defaultRowHeight="12.75"/>
  <cols>
    <col min="1" max="1" width="1.140625" style="1" customWidth="1"/>
    <col min="2" max="2" width="46.28515625" style="1" customWidth="1"/>
    <col min="3" max="3" width="15.7109375" style="1" customWidth="1"/>
    <col min="4" max="16384" width="11.42578125" style="1"/>
  </cols>
  <sheetData>
    <row r="1" spans="1:3" ht="26.25" customHeight="1">
      <c r="A1" s="74" t="s">
        <v>3</v>
      </c>
      <c r="B1" s="74"/>
      <c r="C1" s="74"/>
    </row>
    <row r="2" spans="1:3" ht="12.75" customHeight="1">
      <c r="A2" s="75" t="s">
        <v>4</v>
      </c>
      <c r="B2" s="75"/>
      <c r="C2" s="75"/>
    </row>
    <row r="3" spans="1:3">
      <c r="A3" s="75"/>
      <c r="B3" s="75"/>
      <c r="C3" s="75"/>
    </row>
    <row r="4" spans="1:3" ht="12.75" customHeight="1">
      <c r="A4" s="76"/>
      <c r="B4" s="76"/>
      <c r="C4" s="76"/>
    </row>
    <row r="5" spans="1:3" ht="12.75" customHeight="1">
      <c r="A5" s="43"/>
      <c r="B5" s="43"/>
      <c r="C5" s="43"/>
    </row>
    <row r="6" spans="1:3" ht="12.75" customHeight="1">
      <c r="C6" s="14"/>
    </row>
    <row r="8" spans="1:3" ht="15">
      <c r="A8" s="72" t="s">
        <v>20</v>
      </c>
      <c r="B8" s="72"/>
      <c r="C8" s="72"/>
    </row>
    <row r="9" spans="1:3" ht="12.75" customHeight="1"/>
    <row r="10" spans="1:3" ht="15" customHeight="1">
      <c r="A10" s="72" t="str">
        <f>Details!E3</f>
        <v>Antonio Affusto</v>
      </c>
      <c r="B10" s="72"/>
      <c r="C10" s="72"/>
    </row>
    <row r="11" spans="1:3" ht="12.75" customHeight="1"/>
    <row r="12" spans="1:3" ht="12.75" customHeight="1">
      <c r="A12" s="73">
        <f>Details!G3</f>
        <v>0</v>
      </c>
      <c r="B12" s="73"/>
      <c r="C12" s="73"/>
    </row>
    <row r="13" spans="1:3" ht="12.75" customHeight="1">
      <c r="A13" s="15"/>
      <c r="B13" s="42"/>
      <c r="C13" s="42"/>
    </row>
    <row r="14" spans="1:3" ht="12.75" customHeight="1">
      <c r="A14" s="16"/>
      <c r="B14" s="16"/>
      <c r="C14" s="16"/>
    </row>
    <row r="15" spans="1:3">
      <c r="B15" s="17"/>
      <c r="C15" s="18"/>
    </row>
    <row r="16" spans="1:3" ht="31.5" customHeight="1">
      <c r="B16" s="52"/>
      <c r="C16" s="53" t="s">
        <v>1</v>
      </c>
    </row>
    <row r="17" spans="2:3" ht="18" customHeight="1">
      <c r="B17" s="59" t="s">
        <v>10</v>
      </c>
      <c r="C17" s="54">
        <f>IF(VLOOKUP(B17,Details!A:G,7,FALSE)="",0,VLOOKUP(B17,Details!A:G,7,FALSE))</f>
        <v>0</v>
      </c>
    </row>
    <row r="18" spans="2:3" ht="18" customHeight="1">
      <c r="B18" s="58" t="s">
        <v>11</v>
      </c>
      <c r="C18" s="54">
        <f>IF(VLOOKUP(B18,Details!A:G,7,FALSE)="",0,VLOOKUP(B18,Details!A:G,7,FALSE))</f>
        <v>53.03</v>
      </c>
    </row>
    <row r="19" spans="2:3" ht="18" customHeight="1">
      <c r="B19" s="58" t="s">
        <v>18</v>
      </c>
      <c r="C19" s="19">
        <f>IF(VLOOKUP(B19,Details!A:G,7,FALSE)="",0,VLOOKUP(B19,Details!A:G,7,FALSE))</f>
        <v>56</v>
      </c>
    </row>
    <row r="20" spans="2:3" ht="18" customHeight="1">
      <c r="B20" s="58" t="s">
        <v>12</v>
      </c>
      <c r="C20" s="19">
        <f>IF(VLOOKUP(B20,Details!A:G,7,FALSE)="",0,VLOOKUP(B20,Details!A:G,7,FALSE))</f>
        <v>0</v>
      </c>
    </row>
    <row r="21" spans="2:3" ht="18" customHeight="1">
      <c r="B21" s="58" t="s">
        <v>13</v>
      </c>
      <c r="C21" s="19">
        <f>IF(VLOOKUP(B21,Details!A:G,7,FALSE)="",0,VLOOKUP(B21,Details!A:G,7,FALSE))</f>
        <v>8.6999999999999993</v>
      </c>
    </row>
    <row r="22" spans="2:3" ht="18" customHeight="1">
      <c r="B22" s="58" t="s">
        <v>14</v>
      </c>
      <c r="C22" s="19">
        <f>IF(VLOOKUP(B22,Details!A:G,7,FALSE)="",0,VLOOKUP(B22,Details!A:G,7,FALSE))</f>
        <v>0</v>
      </c>
    </row>
    <row r="23" spans="2:3" ht="18" customHeight="1">
      <c r="B23" s="58" t="s">
        <v>15</v>
      </c>
      <c r="C23" s="19">
        <f>IF(VLOOKUP(B23,Details!A:G,7,FALSE)="",0,VLOOKUP(B23,Details!A:G,7,FALSE))</f>
        <v>0</v>
      </c>
    </row>
    <row r="24" spans="2:3" ht="18" customHeight="1">
      <c r="B24" s="58" t="s">
        <v>16</v>
      </c>
      <c r="C24" s="19">
        <f>IF(VLOOKUP(B24,Details!A:G,7,FALSE)="",0,VLOOKUP(B24,Details!A:G,7,FALSE))</f>
        <v>0</v>
      </c>
    </row>
    <row r="25" spans="2:3" ht="18" customHeight="1">
      <c r="B25" s="58" t="s">
        <v>17</v>
      </c>
      <c r="C25" s="19">
        <f>IF(VLOOKUP(B25,Details!A:G,7,FALSE)="",0,VLOOKUP(B25,Details!A:G,7,FALSE))</f>
        <v>0</v>
      </c>
    </row>
    <row r="26" spans="2:3" ht="18" customHeight="1">
      <c r="B26" s="20" t="s">
        <v>9</v>
      </c>
      <c r="C26" s="55">
        <f>VLOOKUP(B26,Details!A:G,6,FALSE)</f>
        <v>117.73</v>
      </c>
    </row>
  </sheetData>
  <sheetProtection password="D9E4" sheet="1" objects="1" scenarios="1" selectLockedCells="1"/>
  <mergeCells count="7">
    <mergeCell ref="A10:C10"/>
    <mergeCell ref="A8:C8"/>
    <mergeCell ref="A12:C12"/>
    <mergeCell ref="A1:C1"/>
    <mergeCell ref="A3:C3"/>
    <mergeCell ref="A4:C4"/>
    <mergeCell ref="A2:C2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Details</vt:lpstr>
      <vt:lpstr>Übersicht</vt:lpstr>
      <vt:lpstr>Übersicht!Area_stampa</vt:lpstr>
      <vt:lpstr>Details!Titoli_stampa</vt:lpstr>
    </vt:vector>
  </TitlesOfParts>
  <Company>BEGA Gantenbrink-Leuchten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</dc:creator>
  <cp:lastModifiedBy>Antonio Affusto</cp:lastModifiedBy>
  <cp:lastPrinted>2017-06-30T10:29:27Z</cp:lastPrinted>
  <dcterms:created xsi:type="dcterms:W3CDTF">2014-06-11T10:31:13Z</dcterms:created>
  <dcterms:modified xsi:type="dcterms:W3CDTF">2026-02-03T16:05:19Z</dcterms:modified>
</cp:coreProperties>
</file>